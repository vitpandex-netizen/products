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Сводка" sheetId="1" state="visible" r:id="rId3"/>
    <sheet name="🏦 ИИС Облигации" sheetId="2" state="visible" r:id="rId4"/>
    <sheet name="💳 Кредит" sheetId="3" state="visible" r:id="rId5"/>
    <sheet name="🏧 Вклад" sheetId="4" state="visible" r:id="rId6"/>
    <sheet name="🎯 Оптимальная стратегия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<sst xmlns="http://schemas.openxmlformats.org/spreadsheetml/2006/main" count="170" uniqueCount="129">
  <si>
    <t xml:space="preserve">ИНВЕСТИЦИОННЫЙ ПЛАН — 10 000 000 сум / месяц</t>
  </si>
  <si>
    <t xml:space="preserve">⚙️  ВВОДНЫЕ ДАННЫЕ (синие ячейки — изменяемые параметры)</t>
  </si>
  <si>
    <t xml:space="preserve">Ежемесячный взнос</t>
  </si>
  <si>
    <t xml:space="preserve">Сумма ежемесячных вложений</t>
  </si>
  <si>
    <t xml:space="preserve">Остаток кредита</t>
  </si>
  <si>
    <t xml:space="preserve">Ставка кредита (годовых)</t>
  </si>
  <si>
    <t xml:space="preserve">Номинальная купонная ставка ИИС</t>
  </si>
  <si>
    <t xml:space="preserve">Наценка к номиналу ИИС</t>
  </si>
  <si>
    <t xml:space="preserve">Эффективная ставка ИИС (после наценки)</t>
  </si>
  <si>
    <t xml:space="preserve">Ставка НДФЛ (возврат)</t>
  </si>
  <si>
    <t xml:space="preserve">Номинальная ставка вклада</t>
  </si>
  <si>
    <t xml:space="preserve">Эффективная ставка вклада (с капит.)</t>
  </si>
  <si>
    <t xml:space="preserve">Количество месяцев (план)</t>
  </si>
  <si>
    <t xml:space="preserve">📈  СРАВНЕНИЕ ТРЁХ СЦЕНАРИЕВ — 12 МЕСЯЦЕВ</t>
  </si>
  <si>
    <t xml:space="preserve">Сценарий</t>
  </si>
  <si>
    <t xml:space="preserve">Вложено (сум)</t>
  </si>
  <si>
    <t xml:space="preserve">Доход / Экономия (сум)</t>
  </si>
  <si>
    <t xml:space="preserve">Доход %</t>
  </si>
  <si>
    <t xml:space="preserve">Эффект. ставка</t>
  </si>
  <si>
    <t xml:space="preserve">Остаток кредита на конец года</t>
  </si>
  <si>
    <t xml:space="preserve">Ликвидность</t>
  </si>
  <si>
    <t xml:space="preserve">Рейтинг</t>
  </si>
  <si>
    <t xml:space="preserve">🏦 ИИС Облигации + НДФЛ</t>
  </si>
  <si>
    <t xml:space="preserve">170 000 000 (не меняется)</t>
  </si>
  <si>
    <t xml:space="preserve">Средняя</t>
  </si>
  <si>
    <t xml:space="preserve">⭐⭐⭐  #1 — Лучший вариант</t>
  </si>
  <si>
    <t xml:space="preserve">💳 Кредит (доп. платёж к погашению)</t>
  </si>
  <si>
    <t xml:space="preserve">~50 000 000 (-120 млн долга!)</t>
  </si>
  <si>
    <t xml:space="preserve">Низкая</t>
  </si>
  <si>
    <t xml:space="preserve">⭐⭐  #2 — Надёжный выбор</t>
  </si>
  <si>
    <t xml:space="preserve">🏧 Вклад 23% (с капитализацией)</t>
  </si>
  <si>
    <t xml:space="preserve">Высокая</t>
  </si>
  <si>
    <t xml:space="preserve">⭐  #3 — Консервативно</t>
  </si>
  <si>
    <t xml:space="preserve">💡  ВЫВОД:  ИИС даёт ~36% эффективных (купон 24% + возврат НДФЛ 12%) — это ВЫГОДНЕЕ кредита (33%). Оптимально: весь излишек → ИИС Облигации.</t>
  </si>
  <si>
    <t xml:space="preserve">📅  РЕЗУЛЬТАТ ЗА ОСТАВШИЕСЯ МЕСЯЦЫ 2026 ГОДА (июль – декабрь, 6 месяцев × 10 млн = 60 млн)</t>
  </si>
  <si>
    <t xml:space="preserve">Итого на руки (сум)</t>
  </si>
  <si>
    <t xml:space="preserve">ИИС ОБЛИГАЦИИ — ПОМЕСЯЧНЫЙ РАСЧЁТ (12 месяцев)</t>
  </si>
  <si>
    <t xml:space="preserve">Ежемесячный взнос (сум)</t>
  </si>
  <si>
    <t xml:space="preserve">Эффективная ставка ИИС (годовых)</t>
  </si>
  <si>
    <t xml:space="preserve">Ежемесячная ставка ИИС</t>
  </si>
  <si>
    <t xml:space="preserve">Итого месяцев</t>
  </si>
  <si>
    <t xml:space="preserve">Месяц</t>
  </si>
  <si>
    <t xml:space="preserve">Ежемес.
взнос (сум)</t>
  </si>
  <si>
    <t xml:space="preserve">Накопл.
вложения (сум)</t>
  </si>
  <si>
    <t xml:space="preserve">Купонный
доход (сум)</t>
  </si>
  <si>
    <t xml:space="preserve">Накопл.
доход по купону</t>
  </si>
  <si>
    <t xml:space="preserve">НДФЛ
(возврат)</t>
  </si>
  <si>
    <t xml:space="preserve">Итого
доход нараст.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</si>
  <si>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</si>
  <si>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</si>
  <si>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</si>
  <si>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</si>
  <si>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</si>
  <si>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</si>
  <si>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</si>
  <si>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</si>
  <si>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</si>
  <si>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</si>
  <si>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</si>
  <si>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</si>
  <si>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ИТОГО ЗА ГОД</t>
  </si>
  <si>
    <t xml:space="preserve">📌  Итоговая доходность = Купонный доход + Возврат НДФЛ</t>
  </si>
  <si>
    <t xml:space="preserve">Общий купонный доход</t>
  </si>
  <si>
    <t xml:space="preserve">Возврат НДФЛ (12% от 120 млн)</t>
  </si>
  <si>
    <t xml:space="preserve">ИТОГО ДОХОД</t>
  </si>
  <si>
    <t xml:space="preserve">Вложено всего</t>
  </si>
  <si>
    <t xml:space="preserve">Доходность на вложенный капитал</t>
  </si>
  <si>
    <t xml:space="preserve">Эффективная годовая ставка (купон + НДФЛ)</t>
  </si>
  <si>
    <t xml:space="preserve">ПОГАШЕНИЕ КРЕДИТА — ПОМЕСЯЧНЫЙ РАСЧЁТ</t>
  </si>
  <si>
    <t xml:space="preserve">Начальный остаток кредита</t>
  </si>
  <si>
    <t xml:space="preserve">Годовая ставка кредита</t>
  </si>
  <si>
    <t xml:space="preserve">Ежемесячная ставка</t>
  </si>
  <si>
    <t xml:space="preserve">Ежемесячный доп. платёж</t>
  </si>
  <si>
    <t xml:space="preserve">Остаток на начало
(сум)</t>
  </si>
  <si>
    <t xml:space="preserve">Начисленные
проценты (сум)</t>
  </si>
  <si>
    <t xml:space="preserve">Доп. платёж в
основной долг (сум)</t>
  </si>
  <si>
    <t xml:space="preserve">Остаток на конец
(сум)</t>
  </si>
  <si>
    <t xml:space="preserve">Проценты без
доп. платежа</t>
  </si>
  <si>
    <t xml:space="preserve">Экономия
процентов (сум)</t>
  </si>
  <si>
    <t xml:space="preserve">📌  Суммарная экономия = разница между процентами без доп. платежей и фактически уплаченными</t>
  </si>
  <si>
    <t xml:space="preserve">Начальный долг</t>
  </si>
  <si>
    <t xml:space="preserve">Остаток долга на конец года</t>
  </si>
  <si>
    <t xml:space="preserve">Погашено основного долга</t>
  </si>
  <si>
    <t xml:space="preserve">Проценты уплачены (факт)</t>
  </si>
  <si>
    <t xml:space="preserve">Проценты без доп. платежей</t>
  </si>
  <si>
    <t xml:space="preserve">ЭКОНОМИЯ НА ПРОЦЕНТАХ</t>
  </si>
  <si>
    <t xml:space="preserve">Доходность доп. платежей (%)</t>
  </si>
  <si>
    <t xml:space="preserve">ВКЛАД С КАПИТАЛИЗАЦИЕЙ — ПОМЕСЯЧНЫЙ РАСЧЁТ</t>
  </si>
  <si>
    <t xml:space="preserve">Номинальная ставка (годовых)</t>
  </si>
  <si>
    <t xml:space="preserve">Эффективная ставка (годовых)</t>
  </si>
  <si>
    <t xml:space="preserve">Взнос (сум)</t>
  </si>
  <si>
    <t xml:space="preserve">Нарастающий
вклад (сум)</t>
  </si>
  <si>
    <t xml:space="preserve">Проценты
за месяц (сум)</t>
  </si>
  <si>
    <t xml:space="preserve">Итого с
процентами (сум)</t>
  </si>
  <si>
    <t xml:space="preserve">Итого
процентов (сум)</t>
  </si>
  <si>
    <t xml:space="preserve">📌  Итоги вклада</t>
  </si>
  <si>
    <t xml:space="preserve">Итоговая сумма вклада (с процентами)</t>
  </si>
  <si>
    <t xml:space="preserve">Вложено итого</t>
  </si>
  <si>
    <t xml:space="preserve">Доход (проценты)</t>
  </si>
  <si>
    <t xml:space="preserve">Эффективная годовая ставка</t>
  </si>
  <si>
    <t xml:space="preserve">ОПТИМАЛЬНАЯ СТРАТЕГИЯ — РЕКОМЕНДАЦИЯ</t>
  </si>
  <si>
    <t xml:space="preserve">🏆  РАНЖИРОВАНИЕ ПО ЭФФЕКТИВНОЙ ДОХОДНОСТИ</t>
  </si>
  <si>
    <t xml:space="preserve">Инструмент</t>
  </si>
  <si>
    <t xml:space="preserve">Ставка купона/
основная ставка</t>
  </si>
  <si>
    <t xml:space="preserve">Эффект доп.
фактора</t>
  </si>
  <si>
    <t xml:space="preserve">Итоговая эффект.
ставка</t>
  </si>
  <si>
    <t xml:space="preserve">Риск</t>
  </si>
  <si>
    <t xml:space="preserve">Рекомендация</t>
  </si>
  <si>
    <t xml:space="preserve">🥇 #1 — ИИС Облигации</t>
  </si>
  <si>
    <t xml:space="preserve">+'📊 Сводка'!B11 НДФЛ</t>
  </si>
  <si>
    <t xml:space="preserve">Средний</t>
  </si>
  <si>
    <t xml:space="preserve">✅ МАКСИМАЛЬНЫЙ ДОХОД → весь излишек сюда</t>
  </si>
  <si>
    <t xml:space="preserve">🥈 #2 — Погашение кредита</t>
  </si>
  <si>
    <t xml:space="preserve">Гарантия 33%</t>
  </si>
  <si>
    <t xml:space="preserve">Нулевой</t>
  </si>
  <si>
    <t xml:space="preserve">✅ Если нет лимита ИИС или хочешь снизить долг</t>
  </si>
  <si>
    <t xml:space="preserve">🥉 #3 — Вклад</t>
  </si>
  <si>
    <t xml:space="preserve">Капитализация учтена</t>
  </si>
  <si>
    <t xml:space="preserve">✅ Только для ликвидного резерва (≤ 1-2 мес.)</t>
  </si>
  <si>
    <t xml:space="preserve">💰  ЕЖЕМЕСЯЧНОЕ РАСПРЕДЕЛЕНИЕ 10 МЛН СУМ (ОПТИМАЛЬНАЯ СТРАТЕГИЯ)</t>
  </si>
  <si>
    <t xml:space="preserve">ШАГИ:
1️⃣  Весь излишек (10 000 000 сум) → ИИС Облигации (эффект. ставка 36%)
    → Купон 24% + Возврат НДФЛ 12% = ВЫГОДНЕЕ кредита на 3 п.п.
2️⃣  Если есть лимит на ИИС или хочешь активно снижать долг:
    → После ИИС остаток → досрочное погашение кредита (33% гарантия)
3️⃣  Вклад — только для аварийного резерва (1-2 месячных расхода)
    → НЕ основной инструмент, пока есть кредит под 33%</t>
  </si>
  <si>
    <t xml:space="preserve">📊  ИТОГ ЧЕРЕЗ 12 МЕСЯЦЕВ (при инвестировании в ИИС)</t>
  </si>
  <si>
    <t xml:space="preserve">Вложено в ИИС за год</t>
  </si>
  <si>
    <t xml:space="preserve">Купонный доход за год</t>
  </si>
  <si>
    <t xml:space="preserve">Возврат НДФЛ за год</t>
  </si>
  <si>
    <t xml:space="preserve">ИТОГО ДОХОД по ИИС</t>
  </si>
  <si>
    <t xml:space="preserve">Остаток кредита (без доп. платежей)</t>
  </si>
  <si>
    <t xml:space="preserve">Выгода ИИС vs. Вклад за год</t>
  </si>
  <si>
    <t xml:space="preserve">Выгода ИИС vs. Кредит за год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</si>
</sst>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6400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7B5E2A"/>
      <name val="Arial"/>
      <family val="0"/>
      <charset val="1"/>
    </font>
    <font>
      <b val="true"/>
      <sz val="11"/>
      <color rgb="FF7B5E2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11"/>
      <color rgb="FF1F3864"/>
      <name val="Arial"/>
      <family val="0"/>
      <charset val="1"/>
    </font>
    <font>
      <b val="true"/>
      <sz val="12"/>
      <color rgb="FF0064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EBF3FB"/>
        <bgColor rgb="FFE8F5E9"/>
      </patternFill>
    </fill>
    <fill>
      <patternFill patternType="solid">
        <fgColor rgb="FF2E5D8E"/>
        <bgColor rgb="FF1A5276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9E6"/>
      </patternFill>
    </fill>
    <fill>
      <patternFill patternType="solid">
        <fgColor rgb="FF375623"/>
        <bgColor rgb="FF333300"/>
      </patternFill>
    </fill>
    <fill>
      <patternFill patternType="solid">
        <fgColor rgb="FFE8F5E9"/>
        <bgColor rgb="FFEBF3FB"/>
      </patternFill>
    </fill>
    <fill>
      <patternFill patternType="solid">
        <fgColor rgb="FF1A5276"/>
        <bgColor rgb="FF2E5D8E"/>
      </patternFill>
    </fill>
    <fill>
      <patternFill patternType="solid">
        <fgColor rgb="FFFFFFFF"/>
        <bgColor rgb="FFFFF9E6"/>
      </patternFill>
    </fill>
    <fill>
      <patternFill patternType="solid">
        <fgColor rgb="FFC00000"/>
        <bgColor rgb="FF800000"/>
      </patternFill>
    </fill>
    <fill>
      <patternFill patternType="solid">
        <fgColor rgb="FF7B5E2A"/>
        <bgColor rgb="FF375623"/>
      </patternFill>
    </fill>
    <fill>
      <patternFill patternType="solid">
        <fgColor rgb="FFFFF9E6"/>
        <bgColor rgb="FFFFFFFF"/>
      </patternFill>
    </fill>
    <fill>
      <patternFill patternType="solid">
        <fgColor rgb="FFF0FFF0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A84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9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11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6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3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5E2A"/>
      <rgbColor rgb="FF800080"/>
      <rgbColor rgb="FF008080"/>
      <rgbColor rgb="FFC0C0C0"/>
      <rgbColor rgb="FF7F7F7F"/>
      <rgbColor rgb="FF9999FF"/>
      <rgbColor rgb="FF993366"/>
      <rgbColor rgb="FFFFF9E6"/>
      <rgbColor rgb="FFE8F5E9"/>
      <rgbColor rgb="FF660066"/>
      <rgbColor rgb="FFFF8080"/>
      <rgbColor rgb="FF0066CC"/>
      <rgbColor rgb="FFF0FF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2E5D8E"/>
      <rgbColor rgb="FFC9A84C"/>
      <rgbColor rgb="FF1F3864"/>
      <rgbColor rgb="FF339966"/>
      <rgbColor rgb="FF006400"/>
      <rgbColor rgb="FF333300"/>
      <rgbColor rgb="FF993300"/>
      <rgbColor rgb="FF993366"/>
      <rgbColor rgb="FF1A527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8" min="4" style="0" width="1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2</v>
      </c>
      <c r="B5" s="4" t="n">
        <v>10000000</v>
      </c>
      <c r="C5" s="5" t="s">
        <v>3</v>
      </c>
      <c r="D5" s="5"/>
      <c r="E5" s="5"/>
      <c r="F5" s="5"/>
      <c r="G5" s="5"/>
      <c r="H5" s="5"/>
    </row>
    <row r="6" customFormat="false" ht="15" hidden="false" customHeight="false" outlineLevel="0" collapsed="false">
      <c r="A6" s="3" t="s">
        <v>4</v>
      </c>
      <c r="B6" s="4" t="n">
        <v>170000000</v>
      </c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3" t="s">
        <v>5</v>
      </c>
      <c r="B7" s="6" t="n">
        <v>0.33</v>
      </c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3" t="s">
        <v>6</v>
      </c>
      <c r="B8" s="6" t="n">
        <v>0.26</v>
      </c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3" t="s">
        <v>7</v>
      </c>
      <c r="B9" s="6" t="n">
        <v>0.06</v>
      </c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3" t="s">
        <v>8</v>
      </c>
      <c r="B10" s="6" t="n">
        <v>0.24</v>
      </c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3" t="s">
        <v>9</v>
      </c>
      <c r="B11" s="6" t="n">
        <v>0.12</v>
      </c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 t="s">
        <v>10</v>
      </c>
      <c r="B12" s="6" t="n">
        <v>0.21</v>
      </c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3" t="s">
        <v>11</v>
      </c>
      <c r="B13" s="6" t="n">
        <v>0.23</v>
      </c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3" t="s">
        <v>12</v>
      </c>
      <c r="B14" s="4" t="n">
        <v>12</v>
      </c>
      <c r="C14" s="5"/>
      <c r="D14" s="5"/>
      <c r="E14" s="5"/>
      <c r="F14" s="5"/>
      <c r="G14" s="5"/>
      <c r="H14" s="5"/>
    </row>
    <row r="16" customFormat="false" ht="27.75" hidden="false" customHeight="true" outlineLevel="0" collapsed="false">
      <c r="A16" s="7" t="s">
        <v>13</v>
      </c>
      <c r="B16" s="7"/>
      <c r="C16" s="7"/>
      <c r="D16" s="7"/>
      <c r="E16" s="7"/>
      <c r="F16" s="7"/>
      <c r="G16" s="7"/>
      <c r="H16" s="7"/>
    </row>
    <row r="17" customFormat="false" ht="31.5" hidden="false" customHeight="true" outlineLevel="0" collapsed="false">
      <c r="A17" s="8" t="s">
        <v>14</v>
      </c>
      <c r="B17" s="8" t="s">
        <v>15</v>
      </c>
      <c r="C17" s="8" t="s">
        <v>16</v>
      </c>
      <c r="D17" s="8" t="s">
        <v>17</v>
      </c>
      <c r="E17" s="8" t="s">
        <v>18</v>
      </c>
      <c r="F17" s="8" t="s">
        <v>19</v>
      </c>
      <c r="G17" s="8" t="s">
        <v>20</v>
      </c>
      <c r="H17" s="8" t="s">
        <v>21</v>
      </c>
    </row>
    <row r="18" customFormat="false" ht="24" hidden="false" customHeight="true" outlineLevel="0" collapsed="false">
      <c r="A18" s="9" t="s">
        <v>22</v>
      </c>
      <c r="B18" s="10" t="n">
        <f aca="false">B14*B5</f>
        <v>120000000</v>
      </c>
      <c r="C18" s="10" t="n">
        <f aca="false">B5*B10/12*(B14*(B14+1)/2)+B11*B14*B5</f>
        <v>30000000</v>
      </c>
      <c r="D18" s="11" t="n">
        <f aca="false">C18/B18</f>
        <v>0.25</v>
      </c>
      <c r="E18" s="12" t="n">
        <f aca="false">B10+B11</f>
        <v>0.36</v>
      </c>
      <c r="F18" s="13" t="s">
        <v>23</v>
      </c>
      <c r="G18" s="13" t="s">
        <v>24</v>
      </c>
      <c r="H18" s="14" t="s">
        <v>25</v>
      </c>
    </row>
    <row r="19" customFormat="false" ht="24" hidden="false" customHeight="true" outlineLevel="0" collapsed="false">
      <c r="A19" s="15" t="s">
        <v>26</v>
      </c>
      <c r="B19" s="16" t="n">
        <f aca="false">B14*B5</f>
        <v>120000000</v>
      </c>
      <c r="C19" s="16" t="n">
        <f aca="false">B7/12*B5*B14*(B14-1)/2</f>
        <v>18150000</v>
      </c>
      <c r="D19" s="17" t="n">
        <f aca="false">C19/B19</f>
        <v>0.15125</v>
      </c>
      <c r="E19" s="18" t="n">
        <f aca="false">B7</f>
        <v>0.33</v>
      </c>
      <c r="F19" s="19" t="s">
        <v>27</v>
      </c>
      <c r="G19" s="19" t="s">
        <v>28</v>
      </c>
      <c r="H19" s="20" t="s">
        <v>29</v>
      </c>
    </row>
    <row r="20" customFormat="false" ht="24" hidden="false" customHeight="true" outlineLevel="0" collapsed="false">
      <c r="A20" s="21" t="s">
        <v>30</v>
      </c>
      <c r="B20" s="22" t="n">
        <f aca="false">B14*B5</f>
        <v>120000000</v>
      </c>
      <c r="C20" s="22" t="n">
        <f aca="false">B5*((1+B12/12)^B14-1)/(B12/12)-B14*B5</f>
        <v>12251037.11131</v>
      </c>
      <c r="D20" s="23" t="n">
        <f aca="false">C20/B20</f>
        <v>0.102091975927583</v>
      </c>
      <c r="E20" s="23" t="n">
        <f aca="false">B13</f>
        <v>0.23</v>
      </c>
      <c r="F20" s="24" t="s">
        <v>23</v>
      </c>
      <c r="G20" s="24" t="s">
        <v>31</v>
      </c>
      <c r="H20" s="25" t="s">
        <v>32</v>
      </c>
    </row>
    <row r="22" customFormat="false" ht="36" hidden="false" customHeight="true" outlineLevel="0" collapsed="false">
      <c r="A22" s="26" t="s">
        <v>33</v>
      </c>
      <c r="B22" s="26"/>
      <c r="C22" s="26"/>
      <c r="D22" s="26"/>
      <c r="E22" s="26"/>
      <c r="F22" s="26"/>
      <c r="G22" s="26"/>
      <c r="H22" s="26"/>
    </row>
    <row r="24" customFormat="false" ht="27.75" hidden="false" customHeight="true" outlineLevel="0" collapsed="false">
      <c r="A24" s="7" t="s">
        <v>34</v>
      </c>
      <c r="B24" s="7"/>
      <c r="C24" s="7"/>
      <c r="D24" s="7"/>
      <c r="E24" s="7"/>
      <c r="F24" s="7"/>
      <c r="G24" s="7"/>
      <c r="H24" s="7"/>
    </row>
    <row r="25" customFormat="false" ht="21.75" hidden="false" customHeight="true" outlineLevel="0" collapsed="false">
      <c r="A25" s="27" t="s">
        <v>14</v>
      </c>
      <c r="B25" s="27" t="s">
        <v>15</v>
      </c>
      <c r="C25" s="27" t="s">
        <v>16</v>
      </c>
      <c r="D25" s="27" t="s">
        <v>17</v>
      </c>
      <c r="E25" s="27" t="s">
        <v>35</v>
      </c>
      <c r="F25" s="27"/>
      <c r="G25" s="27"/>
      <c r="H25" s="27"/>
    </row>
    <row r="26" customFormat="false" ht="21.75" hidden="false" customHeight="true" outlineLevel="0" collapsed="false">
      <c r="A26" s="28" t="s">
        <v>22</v>
      </c>
      <c r="B26" s="10" t="n">
        <v>60000000</v>
      </c>
      <c r="C26" s="10" t="n">
        <f aca="false">B5*B10/12*(6*7/2)+B11*6*B5</f>
        <v>11400000</v>
      </c>
      <c r="D26" s="29" t="n">
        <f aca="false">C26/B26</f>
        <v>0.19</v>
      </c>
      <c r="E26" s="10" t="n">
        <f aca="false">B26+C26</f>
        <v>71400000</v>
      </c>
      <c r="F26" s="30"/>
      <c r="G26" s="30"/>
      <c r="H26" s="30"/>
    </row>
    <row r="27" customFormat="false" ht="21.75" hidden="false" customHeight="true" outlineLevel="0" collapsed="false">
      <c r="A27" s="31" t="s">
        <v>26</v>
      </c>
      <c r="B27" s="16" t="n">
        <v>60000000</v>
      </c>
      <c r="C27" s="16" t="n">
        <f aca="false">B7/12*B5*6*(6-1)/2</f>
        <v>4125000</v>
      </c>
      <c r="D27" s="32" t="n">
        <f aca="false">C27/B27</f>
        <v>0.06875</v>
      </c>
      <c r="E27" s="16" t="n">
        <f aca="false">B27+C27</f>
        <v>64125000</v>
      </c>
      <c r="F27" s="33"/>
      <c r="G27" s="33"/>
      <c r="H27" s="33"/>
    </row>
    <row r="28" customFormat="false" ht="21.75" hidden="false" customHeight="true" outlineLevel="0" collapsed="false">
      <c r="A28" s="34" t="s">
        <v>30</v>
      </c>
      <c r="B28" s="22" t="n">
        <v>60000000</v>
      </c>
      <c r="C28" s="22" t="n">
        <f aca="false">B5*((1+B12/12)^6-1)/(B12/12)-6*B5</f>
        <v>2687059.55000709</v>
      </c>
      <c r="D28" s="35" t="n">
        <f aca="false">C28/B28</f>
        <v>0.0447843258334515</v>
      </c>
      <c r="E28" s="22" t="n">
        <f aca="false">B28+C28</f>
        <v>62687059.5500071</v>
      </c>
      <c r="F28" s="36"/>
      <c r="G28" s="36"/>
      <c r="H28" s="36"/>
    </row>
  </sheetData>
  <mergeCells count="6">
    <mergeCell ref="A1:H1"/>
    <mergeCell ref="A3:H3"/>
    <mergeCell ref="C5:H14"/>
    <mergeCell ref="A16:H16"/>
    <mergeCell ref="A22:H22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20"/>
    <col collapsed="false" customWidth="true" hidden="false" outlineLevel="0" max="7" min="5" style="0" width="22"/>
  </cols>
  <sheetData>
    <row r="1" customFormat="false" ht="36" hidden="false" customHeight="true" outlineLevel="0" collapsed="false">
      <c r="A1" s="37" t="s">
        <v>36</v>
      </c>
      <c r="B1" s="37"/>
      <c r="C1" s="37"/>
      <c r="D1" s="37"/>
      <c r="E1" s="37"/>
      <c r="F1" s="37"/>
      <c r="G1" s="37"/>
    </row>
    <row r="3" customFormat="false" ht="15" hidden="false" customHeight="false" outlineLevel="0" collapsed="false">
      <c r="A3" s="38" t="s">
        <v>37</v>
      </c>
      <c r="B3" s="39" t="n">
        <f aca="false">'📊 Сводка'!B5</f>
        <v>10000000</v>
      </c>
    </row>
    <row r="4" customFormat="false" ht="15" hidden="false" customHeight="false" outlineLevel="0" collapsed="false">
      <c r="A4" s="38" t="s">
        <v>38</v>
      </c>
      <c r="B4" s="40" t="n">
        <f aca="false">'📊 Сводка'!B10</f>
        <v>0.24</v>
      </c>
    </row>
    <row r="5" customFormat="false" ht="15" hidden="false" customHeight="false" outlineLevel="0" collapsed="false">
      <c r="A5" s="38" t="s">
        <v>9</v>
      </c>
      <c r="B5" s="40" t="n">
        <f aca="false">'📊 Сводка'!B11</f>
        <v>0.12</v>
      </c>
    </row>
    <row r="6" customFormat="false" ht="15" hidden="false" customHeight="false" outlineLevel="0" collapsed="false">
      <c r="A6" s="38" t="s">
        <v>39</v>
      </c>
      <c r="B6" s="40" t="n">
        <f aca="false">B5/12</f>
        <v>0.01</v>
      </c>
    </row>
    <row r="7" customFormat="false" ht="15" hidden="false" customHeight="false" outlineLevel="0" collapsed="false">
      <c r="A7" s="38" t="s">
        <v>40</v>
      </c>
      <c r="B7" s="39" t="n">
        <f aca="false">'📊 Сводка'!B14</f>
        <v>12</v>
      </c>
    </row>
    <row r="9" customFormat="false" ht="36" hidden="false" customHeight="true" outlineLevel="0" collapsed="false">
      <c r="A9" s="41" t="s">
        <v>41</v>
      </c>
      <c r="B9" s="41" t="s">
        <v>42</v>
      </c>
      <c r="C9" s="41" t="s">
        <v>43</v>
      </c>
      <c r="D9" s="41" t="s">
        <v>44</v>
      </c>
      <c r="E9" s="41" t="s">
        <v>45</v>
      </c>
      <c r="F9" s="41" t="s">
        <v>46</v>
      </c>
      <c r="G9" s="41" t="s">
        <v>47</v>
      </c>
    </row>
    <row r="10" customFormat="false" ht="19.5" hidden="false" customHeight="true" outlineLevel="0" collapsed="false">
      <c r="A10" s="42" t="s">
        <v>48</v>
      </c>
      <c r="B10" s="43" t="n">
        <f aca="false">'📊 Сводка'!B5</f>
        <v>10000000</v>
      </c>
      <c r="C10" s="44" t="n">
        <f aca="false">SUM(B10)</f>
        <v>10000000</v>
      </c>
      <c r="D10" s="44" t="n">
        <f aca="false">C10*$B$6</f>
        <v>100000</v>
      </c>
      <c r="E10" s="44" t="n">
        <f aca="false">SUM(D10)</f>
        <v>100000</v>
      </c>
      <c r="F10" s="43" t="n">
        <f aca="false">'📊 Сводка'!B11*'📊 Сводка'!B5</f>
        <v>1200000</v>
      </c>
      <c r="G10" s="45" t="n">
        <f aca="false">E10+SUM(F10)</f>
        <v>1300000</v>
      </c>
    </row>
    <row r="11" customFormat="false" ht="19.5" hidden="false" customHeight="true" outlineLevel="0" collapsed="false">
      <c r="A11" s="46" t="s">
        <v>49</v>
      </c>
      <c r="B11" s="47" t="n">
        <f aca="false">'📊 Сводка'!B5</f>
        <v>10000000</v>
      </c>
      <c r="C11" s="10" t="n">
        <f aca="false">SUM(B10:B11)</f>
        <v>20000000</v>
      </c>
      <c r="D11" s="10" t="n">
        <f aca="false">C11*$B$6</f>
        <v>200000</v>
      </c>
      <c r="E11" s="10" t="n">
        <f aca="false">SUM(D10:D11)</f>
        <v>300000</v>
      </c>
      <c r="F11" s="47" t="n">
        <f aca="false">'📊 Сводка'!B11*'📊 Сводка'!B5</f>
        <v>1200000</v>
      </c>
      <c r="G11" s="48" t="n">
        <f aca="false">E11+SUM(F10:F11)</f>
        <v>2700000</v>
      </c>
    </row>
    <row r="12" customFormat="false" ht="19.5" hidden="false" customHeight="true" outlineLevel="0" collapsed="false">
      <c r="A12" s="42" t="s">
        <v>50</v>
      </c>
      <c r="B12" s="43" t="n">
        <f aca="false">'📊 Сводка'!B5</f>
        <v>10000000</v>
      </c>
      <c r="C12" s="44" t="n">
        <f aca="false">SUM(B10:B12)</f>
        <v>30000000</v>
      </c>
      <c r="D12" s="44" t="n">
        <f aca="false">C12*$B$6</f>
        <v>300000</v>
      </c>
      <c r="E12" s="44" t="n">
        <f aca="false">SUM(D10:D12)</f>
        <v>600000</v>
      </c>
      <c r="F12" s="43" t="n">
        <f aca="false">'📊 Сводка'!B11*'📊 Сводка'!B5</f>
        <v>1200000</v>
      </c>
      <c r="G12" s="45" t="n">
        <f aca="false">E12+SUM(F10:F12)</f>
        <v>4200000</v>
      </c>
    </row>
    <row r="13" customFormat="false" ht="19.5" hidden="false" customHeight="true" outlineLevel="0" collapsed="false">
      <c r="A13" s="46" t="s">
        <v>51</v>
      </c>
      <c r="B13" s="47" t="n">
        <f aca="false">'📊 Сводка'!B5</f>
        <v>10000000</v>
      </c>
      <c r="C13" s="10" t="n">
        <f aca="false">SUM(B10:B13)</f>
        <v>40000000</v>
      </c>
      <c r="D13" s="10" t="n">
        <f aca="false">C13*$B$6</f>
        <v>400000</v>
      </c>
      <c r="E13" s="10" t="n">
        <f aca="false">SUM(D10:D13)</f>
        <v>1000000</v>
      </c>
      <c r="F13" s="47" t="n">
        <f aca="false">'📊 Сводка'!B11*'📊 Сводка'!B5</f>
        <v>1200000</v>
      </c>
      <c r="G13" s="48" t="n">
        <f aca="false">E13+SUM(F10:F13)</f>
        <v>5800000</v>
      </c>
    </row>
    <row r="14" customFormat="false" ht="19.5" hidden="false" customHeight="true" outlineLevel="0" collapsed="false">
      <c r="A14" s="42" t="s">
        <v>52</v>
      </c>
      <c r="B14" s="43" t="n">
        <f aca="false">'📊 Сводка'!B5</f>
        <v>10000000</v>
      </c>
      <c r="C14" s="44" t="n">
        <f aca="false">SUM(B10:B14)</f>
        <v>50000000</v>
      </c>
      <c r="D14" s="44" t="n">
        <f aca="false">C14*$B$6</f>
        <v>500000</v>
      </c>
      <c r="E14" s="44" t="n">
        <f aca="false">SUM(D10:D14)</f>
        <v>1500000</v>
      </c>
      <c r="F14" s="43" t="n">
        <f aca="false">'📊 Сводка'!B11*'📊 Сводка'!B5</f>
        <v>1200000</v>
      </c>
      <c r="G14" s="45" t="n">
        <f aca="false">E14+SUM(F10:F14)</f>
        <v>7500000</v>
      </c>
    </row>
    <row r="15" customFormat="false" ht="19.5" hidden="false" customHeight="true" outlineLevel="0" collapsed="false">
      <c r="A15" s="46" t="s">
        <v>53</v>
      </c>
      <c r="B15" s="47" t="n">
        <f aca="false">'📊 Сводка'!B5</f>
        <v>10000000</v>
      </c>
      <c r="C15" s="10" t="n">
        <f aca="false">SUM(B10:B15)</f>
        <v>60000000</v>
      </c>
      <c r="D15" s="10" t="n">
        <f aca="false">C15*$B$6</f>
        <v>600000</v>
      </c>
      <c r="E15" s="10" t="n">
        <f aca="false">SUM(D10:D15)</f>
        <v>2100000</v>
      </c>
      <c r="F15" s="47" t="n">
        <f aca="false">'📊 Сводка'!B11*'📊 Сводка'!B5</f>
        <v>1200000</v>
      </c>
      <c r="G15" s="48" t="n">
        <f aca="false">E15+SUM(F10:F15)</f>
        <v>9300000</v>
      </c>
    </row>
    <row r="16" customFormat="false" ht="19.5" hidden="false" customHeight="true" outlineLevel="0" collapsed="false">
      <c r="A16" s="42" t="s">
        <v>54</v>
      </c>
      <c r="B16" s="43" t="n">
        <f aca="false">'📊 Сводка'!B5</f>
        <v>10000000</v>
      </c>
      <c r="C16" s="44" t="n">
        <f aca="false">SUM(B10:B16)</f>
        <v>70000000</v>
      </c>
      <c r="D16" s="44" t="n">
        <f aca="false">C16*$B$6</f>
        <v>700000</v>
      </c>
      <c r="E16" s="44" t="n">
        <f aca="false">SUM(D10:D16)</f>
        <v>2800000</v>
      </c>
      <c r="F16" s="43" t="n">
        <f aca="false">'📊 Сводка'!B11*'📊 Сводка'!B5</f>
        <v>1200000</v>
      </c>
      <c r="G16" s="45" t="n">
        <f aca="false">E16+SUM(F10:F16)</f>
        <v>11200000</v>
      </c>
    </row>
    <row r="17" customFormat="false" ht="19.5" hidden="false" customHeight="true" outlineLevel="0" collapsed="false">
      <c r="A17" s="46" t="s">
        <v>55</v>
      </c>
      <c r="B17" s="47" t="n">
        <f aca="false">'📊 Сводка'!B5</f>
        <v>10000000</v>
      </c>
      <c r="C17" s="10" t="n">
        <f aca="false">SUM(B10:B17)</f>
        <v>80000000</v>
      </c>
      <c r="D17" s="10" t="n">
        <f aca="false">C17*$B$6</f>
        <v>800000</v>
      </c>
      <c r="E17" s="10" t="n">
        <f aca="false">SUM(D10:D17)</f>
        <v>3600000</v>
      </c>
      <c r="F17" s="47" t="n">
        <f aca="false">'📊 Сводка'!B11*'📊 Сводка'!B5</f>
        <v>1200000</v>
      </c>
      <c r="G17" s="48" t="n">
        <f aca="false">E17+SUM(F10:F17)</f>
        <v>13200000</v>
      </c>
    </row>
    <row r="18" customFormat="false" ht="19.5" hidden="false" customHeight="true" outlineLevel="0" collapsed="false">
      <c r="A18" s="42" t="s">
        <v>56</v>
      </c>
      <c r="B18" s="43" t="n">
        <f aca="false">'📊 Сводка'!B5</f>
        <v>10000000</v>
      </c>
      <c r="C18" s="44" t="n">
        <f aca="false">SUM(B10:B18)</f>
        <v>90000000</v>
      </c>
      <c r="D18" s="44" t="n">
        <f aca="false">C18*$B$6</f>
        <v>900000</v>
      </c>
      <c r="E18" s="44" t="n">
        <f aca="false">SUM(D10:D18)</f>
        <v>4500000</v>
      </c>
      <c r="F18" s="43" t="n">
        <f aca="false">'📊 Сводка'!B11*'📊 Сводка'!B5</f>
        <v>1200000</v>
      </c>
      <c r="G18" s="45" t="n">
        <f aca="false">E18+SUM(F10:F18)</f>
        <v>15300000</v>
      </c>
    </row>
    <row r="19" customFormat="false" ht="19.5" hidden="false" customHeight="true" outlineLevel="0" collapsed="false">
      <c r="A19" s="46" t="s">
        <v>57</v>
      </c>
      <c r="B19" s="47" t="n">
        <f aca="false">'📊 Сводка'!B5</f>
        <v>10000000</v>
      </c>
      <c r="C19" s="10" t="n">
        <f aca="false">SUM(B10:B19)</f>
        <v>100000000</v>
      </c>
      <c r="D19" s="10" t="n">
        <f aca="false">C19*$B$6</f>
        <v>1000000</v>
      </c>
      <c r="E19" s="10" t="n">
        <f aca="false">SUM(D10:D19)</f>
        <v>5500000</v>
      </c>
      <c r="F19" s="47" t="n">
        <f aca="false">'📊 Сводка'!B11*'📊 Сводка'!B5</f>
        <v>1200000</v>
      </c>
      <c r="G19" s="48" t="n">
        <f aca="false">E19+SUM(F10:F19)</f>
        <v>17500000</v>
      </c>
    </row>
    <row r="20" customFormat="false" ht="19.5" hidden="false" customHeight="true" outlineLevel="0" collapsed="false">
      <c r="A20" s="42" t="s">
        <v>58</v>
      </c>
      <c r="B20" s="43" t="n">
        <f aca="false">'📊 Сводка'!B5</f>
        <v>10000000</v>
      </c>
      <c r="C20" s="44" t="n">
        <f aca="false">SUM(B10:B20)</f>
        <v>110000000</v>
      </c>
      <c r="D20" s="44" t="n">
        <f aca="false">C20*$B$6</f>
        <v>1100000</v>
      </c>
      <c r="E20" s="44" t="n">
        <f aca="false">SUM(D10:D20)</f>
        <v>6600000</v>
      </c>
      <c r="F20" s="43" t="n">
        <f aca="false">'📊 Сводка'!B11*'📊 Сводка'!B5</f>
        <v>1200000</v>
      </c>
      <c r="G20" s="45" t="n">
        <f aca="false">E20+SUM(F10:F20)</f>
        <v>19800000</v>
      </c>
    </row>
    <row r="21" customFormat="false" ht="19.5" hidden="false" customHeight="true" outlineLevel="0" collapsed="false">
      <c r="A21" s="46" t="s">
        <v>59</v>
      </c>
      <c r="B21" s="47" t="n">
        <f aca="false">'📊 Сводка'!B5</f>
        <v>10000000</v>
      </c>
      <c r="C21" s="10" t="n">
        <f aca="false">SUM(B10:B21)</f>
        <v>120000000</v>
      </c>
      <c r="D21" s="10" t="n">
        <f aca="false">C21*$B$6</f>
        <v>1200000</v>
      </c>
      <c r="E21" s="10" t="n">
        <f aca="false">SUM(D10:D21)</f>
        <v>7800000</v>
      </c>
      <c r="F21" s="47" t="n">
        <f aca="false">'📊 Сводка'!B11*'📊 Сводка'!B5</f>
        <v>1200000</v>
      </c>
      <c r="G21" s="48" t="n">
        <f aca="false">E21+SUM(F10:F21)</f>
        <v>22200000</v>
      </c>
    </row>
    <row r="22" customFormat="false" ht="24" hidden="false" customHeight="true" outlineLevel="0" collapsed="false">
      <c r="A22" s="49" t="s">
        <v>60</v>
      </c>
      <c r="B22" s="50" t="n">
        <f aca="false">SUM(B10:B21)</f>
        <v>120000000</v>
      </c>
      <c r="C22" s="50" t="n">
        <f aca="false">C21</f>
        <v>120000000</v>
      </c>
      <c r="D22" s="50" t="n">
        <f aca="false">SUM(D10:D21)</f>
        <v>7800000</v>
      </c>
      <c r="E22" s="50" t="n">
        <f aca="false">E21</f>
        <v>7800000</v>
      </c>
      <c r="F22" s="50" t="n">
        <f aca="false">SUM(F10:F21)</f>
        <v>14400000</v>
      </c>
      <c r="G22" s="50" t="n">
        <f aca="false">G21</f>
        <v>22200000</v>
      </c>
    </row>
    <row r="24" customFormat="false" ht="15" hidden="false" customHeight="false" outlineLevel="0" collapsed="false">
      <c r="A24" s="51" t="s">
        <v>61</v>
      </c>
      <c r="B24" s="51"/>
      <c r="C24" s="51"/>
      <c r="D24" s="51"/>
      <c r="E24" s="51"/>
      <c r="F24" s="51"/>
      <c r="G24" s="51"/>
    </row>
    <row r="25" customFormat="false" ht="15" hidden="false" customHeight="false" outlineLevel="0" collapsed="false">
      <c r="A25" s="38" t="s">
        <v>62</v>
      </c>
      <c r="B25" s="52" t="n">
        <f aca="false">E21</f>
        <v>7800000</v>
      </c>
    </row>
    <row r="26" customFormat="false" ht="15" hidden="false" customHeight="false" outlineLevel="0" collapsed="false">
      <c r="A26" s="38" t="s">
        <v>63</v>
      </c>
      <c r="B26" s="52" t="n">
        <f aca="false">SUM(F10:F21)</f>
        <v>14400000</v>
      </c>
    </row>
    <row r="27" customFormat="false" ht="15" hidden="false" customHeight="false" outlineLevel="0" collapsed="false">
      <c r="A27" s="53" t="s">
        <v>64</v>
      </c>
      <c r="B27" s="54" t="n">
        <f aca="false">E21+SUM(F10:F21)</f>
        <v>22200000</v>
      </c>
    </row>
    <row r="28" customFormat="false" ht="15" hidden="false" customHeight="false" outlineLevel="0" collapsed="false">
      <c r="A28" s="38" t="s">
        <v>65</v>
      </c>
      <c r="B28" s="55" t="n">
        <f aca="false">SUM(B10:B21)</f>
        <v>120000000</v>
      </c>
    </row>
    <row r="29" customFormat="false" ht="15" hidden="false" customHeight="false" outlineLevel="0" collapsed="false">
      <c r="A29" s="38" t="s">
        <v>66</v>
      </c>
      <c r="B29" s="56" t="n">
        <f aca="false">(E21+SUM(F10:F21))/SUM(B10:B21)</f>
        <v>0.185</v>
      </c>
    </row>
    <row r="30" customFormat="false" ht="15" hidden="false" customHeight="false" outlineLevel="0" collapsed="false">
      <c r="A30" s="38" t="s">
        <v>67</v>
      </c>
      <c r="B30" s="56" t="n">
        <f aca="false">'📊 Сводка'!B10+'📊 Сводка'!B11</f>
        <v>0.36</v>
      </c>
    </row>
  </sheetData>
  <mergeCells count="2">
    <mergeCell ref="A1:G1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22"/>
  </cols>
  <sheetData>
    <row r="1" customFormat="false" ht="36" hidden="false" customHeight="true" outlineLevel="0" collapsed="false">
      <c r="A1" s="57" t="s">
        <v>68</v>
      </c>
      <c r="B1" s="57"/>
      <c r="C1" s="57"/>
      <c r="D1" s="57"/>
      <c r="E1" s="57"/>
      <c r="F1" s="57"/>
      <c r="G1" s="57"/>
    </row>
    <row r="3" customFormat="false" ht="15" hidden="false" customHeight="false" outlineLevel="0" collapsed="false">
      <c r="A3" s="38" t="s">
        <v>69</v>
      </c>
      <c r="B3" s="58" t="n">
        <f aca="false">'📊 Сводка'!B6</f>
        <v>170000000</v>
      </c>
    </row>
    <row r="4" customFormat="false" ht="15" hidden="false" customHeight="false" outlineLevel="0" collapsed="false">
      <c r="A4" s="38" t="s">
        <v>70</v>
      </c>
      <c r="B4" s="59" t="n">
        <f aca="false">'📊 Сводка'!B7</f>
        <v>0.33</v>
      </c>
    </row>
    <row r="5" customFormat="false" ht="15" hidden="false" customHeight="false" outlineLevel="0" collapsed="false">
      <c r="A5" s="38" t="s">
        <v>71</v>
      </c>
      <c r="B5" s="59" t="n">
        <f aca="false">B4/12</f>
        <v>0.0275</v>
      </c>
    </row>
    <row r="6" customFormat="false" ht="15" hidden="false" customHeight="false" outlineLevel="0" collapsed="false">
      <c r="A6" s="38" t="s">
        <v>72</v>
      </c>
      <c r="B6" s="58" t="n">
        <f aca="false">'📊 Сводка'!B5</f>
        <v>10000000</v>
      </c>
    </row>
    <row r="8" customFormat="false" ht="42" hidden="false" customHeight="true" outlineLevel="0" collapsed="false">
      <c r="A8" s="60" t="s">
        <v>41</v>
      </c>
      <c r="B8" s="60" t="s">
        <v>73</v>
      </c>
      <c r="C8" s="60" t="s">
        <v>74</v>
      </c>
      <c r="D8" s="60" t="s">
        <v>75</v>
      </c>
      <c r="E8" s="60" t="s">
        <v>76</v>
      </c>
      <c r="F8" s="60" t="s">
        <v>77</v>
      </c>
      <c r="G8" s="60" t="s">
        <v>78</v>
      </c>
    </row>
    <row r="9" customFormat="false" ht="19.5" hidden="false" customHeight="true" outlineLevel="0" collapsed="false">
      <c r="A9" s="42" t="s">
        <v>48</v>
      </c>
      <c r="B9" s="61" t="n">
        <f aca="false">$B$3</f>
        <v>170000000</v>
      </c>
      <c r="C9" s="44" t="n">
        <f aca="false">B9*$B$5</f>
        <v>4675000</v>
      </c>
      <c r="D9" s="43" t="n">
        <f aca="false">$B$6</f>
        <v>10000000</v>
      </c>
      <c r="E9" s="45" t="n">
        <f aca="false">B9-D9</f>
        <v>160000000</v>
      </c>
      <c r="F9" s="62" t="n">
        <f aca="false">$B$3*$B$5</f>
        <v>4675000</v>
      </c>
      <c r="G9" s="63" t="n">
        <f aca="false">F9-C9</f>
        <v>0</v>
      </c>
    </row>
    <row r="10" customFormat="false" ht="19.5" hidden="false" customHeight="true" outlineLevel="0" collapsed="false">
      <c r="A10" s="64" t="s">
        <v>49</v>
      </c>
      <c r="B10" s="65" t="n">
        <f aca="false">E9</f>
        <v>160000000</v>
      </c>
      <c r="C10" s="16" t="n">
        <f aca="false">B10*$B$5</f>
        <v>4400000</v>
      </c>
      <c r="D10" s="66" t="n">
        <f aca="false">$B$6</f>
        <v>10000000</v>
      </c>
      <c r="E10" s="67" t="n">
        <f aca="false">B10-D10</f>
        <v>150000000</v>
      </c>
      <c r="F10" s="68" t="n">
        <f aca="false">$B$3*$B$5</f>
        <v>4675000</v>
      </c>
      <c r="G10" s="69" t="n">
        <f aca="false">F10-C10</f>
        <v>275000</v>
      </c>
    </row>
    <row r="11" customFormat="false" ht="19.5" hidden="false" customHeight="true" outlineLevel="0" collapsed="false">
      <c r="A11" s="42" t="s">
        <v>50</v>
      </c>
      <c r="B11" s="61" t="n">
        <f aca="false">E10</f>
        <v>150000000</v>
      </c>
      <c r="C11" s="44" t="n">
        <f aca="false">B11*$B$5</f>
        <v>4125000</v>
      </c>
      <c r="D11" s="43" t="n">
        <f aca="false">$B$6</f>
        <v>10000000</v>
      </c>
      <c r="E11" s="45" t="n">
        <f aca="false">B11-D11</f>
        <v>140000000</v>
      </c>
      <c r="F11" s="62" t="n">
        <f aca="false">$B$3*$B$5</f>
        <v>4675000</v>
      </c>
      <c r="G11" s="63" t="n">
        <f aca="false">F11-C11</f>
        <v>550000</v>
      </c>
    </row>
    <row r="12" customFormat="false" ht="19.5" hidden="false" customHeight="true" outlineLevel="0" collapsed="false">
      <c r="A12" s="64" t="s">
        <v>51</v>
      </c>
      <c r="B12" s="65" t="n">
        <f aca="false">E11</f>
        <v>140000000</v>
      </c>
      <c r="C12" s="16" t="n">
        <f aca="false">B12*$B$5</f>
        <v>3850000</v>
      </c>
      <c r="D12" s="66" t="n">
        <f aca="false">$B$6</f>
        <v>10000000</v>
      </c>
      <c r="E12" s="67" t="n">
        <f aca="false">B12-D12</f>
        <v>130000000</v>
      </c>
      <c r="F12" s="68" t="n">
        <f aca="false">$B$3*$B$5</f>
        <v>4675000</v>
      </c>
      <c r="G12" s="69" t="n">
        <f aca="false">F12-C12</f>
        <v>825000</v>
      </c>
    </row>
    <row r="13" customFormat="false" ht="19.5" hidden="false" customHeight="true" outlineLevel="0" collapsed="false">
      <c r="A13" s="42" t="s">
        <v>52</v>
      </c>
      <c r="B13" s="61" t="n">
        <f aca="false">E12</f>
        <v>130000000</v>
      </c>
      <c r="C13" s="44" t="n">
        <f aca="false">B13*$B$5</f>
        <v>3575000</v>
      </c>
      <c r="D13" s="43" t="n">
        <f aca="false">$B$6</f>
        <v>10000000</v>
      </c>
      <c r="E13" s="45" t="n">
        <f aca="false">B13-D13</f>
        <v>120000000</v>
      </c>
      <c r="F13" s="62" t="n">
        <f aca="false">$B$3*$B$5</f>
        <v>4675000</v>
      </c>
      <c r="G13" s="63" t="n">
        <f aca="false">F13-C13</f>
        <v>1100000</v>
      </c>
    </row>
    <row r="14" customFormat="false" ht="19.5" hidden="false" customHeight="true" outlineLevel="0" collapsed="false">
      <c r="A14" s="64" t="s">
        <v>53</v>
      </c>
      <c r="B14" s="65" t="n">
        <f aca="false">E13</f>
        <v>120000000</v>
      </c>
      <c r="C14" s="16" t="n">
        <f aca="false">B14*$B$5</f>
        <v>3300000</v>
      </c>
      <c r="D14" s="66" t="n">
        <f aca="false">$B$6</f>
        <v>10000000</v>
      </c>
      <c r="E14" s="67" t="n">
        <f aca="false">B14-D14</f>
        <v>110000000</v>
      </c>
      <c r="F14" s="68" t="n">
        <f aca="false">$B$3*$B$5</f>
        <v>4675000</v>
      </c>
      <c r="G14" s="69" t="n">
        <f aca="false">F14-C14</f>
        <v>1375000</v>
      </c>
    </row>
    <row r="15" customFormat="false" ht="19.5" hidden="false" customHeight="true" outlineLevel="0" collapsed="false">
      <c r="A15" s="42" t="s">
        <v>54</v>
      </c>
      <c r="B15" s="61" t="n">
        <f aca="false">E14</f>
        <v>110000000</v>
      </c>
      <c r="C15" s="44" t="n">
        <f aca="false">B15*$B$5</f>
        <v>3025000</v>
      </c>
      <c r="D15" s="43" t="n">
        <f aca="false">$B$6</f>
        <v>10000000</v>
      </c>
      <c r="E15" s="45" t="n">
        <f aca="false">B15-D15</f>
        <v>100000000</v>
      </c>
      <c r="F15" s="62" t="n">
        <f aca="false">$B$3*$B$5</f>
        <v>4675000</v>
      </c>
      <c r="G15" s="63" t="n">
        <f aca="false">F15-C15</f>
        <v>1650000</v>
      </c>
    </row>
    <row r="16" customFormat="false" ht="19.5" hidden="false" customHeight="true" outlineLevel="0" collapsed="false">
      <c r="A16" s="64" t="s">
        <v>55</v>
      </c>
      <c r="B16" s="65" t="n">
        <f aca="false">E15</f>
        <v>100000000</v>
      </c>
      <c r="C16" s="16" t="n">
        <f aca="false">B16*$B$5</f>
        <v>2750000</v>
      </c>
      <c r="D16" s="66" t="n">
        <f aca="false">$B$6</f>
        <v>10000000</v>
      </c>
      <c r="E16" s="67" t="n">
        <f aca="false">B16-D16</f>
        <v>90000000</v>
      </c>
      <c r="F16" s="68" t="n">
        <f aca="false">$B$3*$B$5</f>
        <v>4675000</v>
      </c>
      <c r="G16" s="69" t="n">
        <f aca="false">F16-C16</f>
        <v>1925000</v>
      </c>
    </row>
    <row r="17" customFormat="false" ht="19.5" hidden="false" customHeight="true" outlineLevel="0" collapsed="false">
      <c r="A17" s="42" t="s">
        <v>56</v>
      </c>
      <c r="B17" s="61" t="n">
        <f aca="false">E16</f>
        <v>90000000</v>
      </c>
      <c r="C17" s="44" t="n">
        <f aca="false">B17*$B$5</f>
        <v>2475000</v>
      </c>
      <c r="D17" s="43" t="n">
        <f aca="false">$B$6</f>
        <v>10000000</v>
      </c>
      <c r="E17" s="45" t="n">
        <f aca="false">B17-D17</f>
        <v>80000000</v>
      </c>
      <c r="F17" s="62" t="n">
        <f aca="false">$B$3*$B$5</f>
        <v>4675000</v>
      </c>
      <c r="G17" s="63" t="n">
        <f aca="false">F17-C17</f>
        <v>2200000</v>
      </c>
    </row>
    <row r="18" customFormat="false" ht="19.5" hidden="false" customHeight="true" outlineLevel="0" collapsed="false">
      <c r="A18" s="64" t="s">
        <v>57</v>
      </c>
      <c r="B18" s="65" t="n">
        <f aca="false">E17</f>
        <v>80000000</v>
      </c>
      <c r="C18" s="16" t="n">
        <f aca="false">B18*$B$5</f>
        <v>2200000</v>
      </c>
      <c r="D18" s="66" t="n">
        <f aca="false">$B$6</f>
        <v>10000000</v>
      </c>
      <c r="E18" s="67" t="n">
        <f aca="false">B18-D18</f>
        <v>70000000</v>
      </c>
      <c r="F18" s="68" t="n">
        <f aca="false">$B$3*$B$5</f>
        <v>4675000</v>
      </c>
      <c r="G18" s="69" t="n">
        <f aca="false">F18-C18</f>
        <v>2475000</v>
      </c>
    </row>
    <row r="19" customFormat="false" ht="19.5" hidden="false" customHeight="true" outlineLevel="0" collapsed="false">
      <c r="A19" s="42" t="s">
        <v>58</v>
      </c>
      <c r="B19" s="61" t="n">
        <f aca="false">E18</f>
        <v>70000000</v>
      </c>
      <c r="C19" s="44" t="n">
        <f aca="false">B19*$B$5</f>
        <v>1925000</v>
      </c>
      <c r="D19" s="43" t="n">
        <f aca="false">$B$6</f>
        <v>10000000</v>
      </c>
      <c r="E19" s="45" t="n">
        <f aca="false">B19-D19</f>
        <v>60000000</v>
      </c>
      <c r="F19" s="62" t="n">
        <f aca="false">$B$3*$B$5</f>
        <v>4675000</v>
      </c>
      <c r="G19" s="63" t="n">
        <f aca="false">F19-C19</f>
        <v>2750000</v>
      </c>
    </row>
    <row r="20" customFormat="false" ht="19.5" hidden="false" customHeight="true" outlineLevel="0" collapsed="false">
      <c r="A20" s="64" t="s">
        <v>59</v>
      </c>
      <c r="B20" s="65" t="n">
        <f aca="false">E19</f>
        <v>60000000</v>
      </c>
      <c r="C20" s="16" t="n">
        <f aca="false">B20*$B$5</f>
        <v>1650000</v>
      </c>
      <c r="D20" s="66" t="n">
        <f aca="false">$B$6</f>
        <v>10000000</v>
      </c>
      <c r="E20" s="67" t="n">
        <f aca="false">B20-D20</f>
        <v>50000000</v>
      </c>
      <c r="F20" s="68" t="n">
        <f aca="false">$B$3*$B$5</f>
        <v>4675000</v>
      </c>
      <c r="G20" s="69" t="n">
        <f aca="false">F20-C20</f>
        <v>3025000</v>
      </c>
    </row>
    <row r="21" customFormat="false" ht="24" hidden="false" customHeight="true" outlineLevel="0" collapsed="false">
      <c r="A21" s="70" t="s">
        <v>60</v>
      </c>
      <c r="B21" s="71"/>
      <c r="C21" s="72" t="n">
        <f aca="false">SUM(C9:C20)</f>
        <v>37950000</v>
      </c>
      <c r="D21" s="72" t="n">
        <f aca="false">SUM(D9:D20)</f>
        <v>120000000</v>
      </c>
      <c r="E21" s="72" t="n">
        <f aca="false">E20</f>
        <v>50000000</v>
      </c>
      <c r="F21" s="72" t="n">
        <f aca="false">SUM(F9:F20)</f>
        <v>56100000</v>
      </c>
      <c r="G21" s="72" t="n">
        <f aca="false">SUM(G9:G20)</f>
        <v>18150000</v>
      </c>
    </row>
    <row r="23" customFormat="false" ht="15" hidden="false" customHeight="false" outlineLevel="0" collapsed="false">
      <c r="A23" s="73" t="s">
        <v>79</v>
      </c>
      <c r="B23" s="73"/>
      <c r="C23" s="73"/>
      <c r="D23" s="73"/>
      <c r="E23" s="73"/>
      <c r="F23" s="73"/>
      <c r="G23" s="73"/>
    </row>
    <row r="24" customFormat="false" ht="15" hidden="false" customHeight="false" outlineLevel="0" collapsed="false">
      <c r="A24" s="38" t="s">
        <v>80</v>
      </c>
      <c r="B24" s="52" t="n">
        <f aca="false">$B$3</f>
        <v>170000000</v>
      </c>
    </row>
    <row r="25" customFormat="false" ht="15" hidden="false" customHeight="false" outlineLevel="0" collapsed="false">
      <c r="A25" s="38" t="s">
        <v>81</v>
      </c>
      <c r="B25" s="52" t="n">
        <f aca="false">E20</f>
        <v>50000000</v>
      </c>
    </row>
    <row r="26" customFormat="false" ht="15" hidden="false" customHeight="false" outlineLevel="0" collapsed="false">
      <c r="A26" s="38" t="s">
        <v>82</v>
      </c>
      <c r="B26" s="52" t="n">
        <f aca="false">$B$3-E20</f>
        <v>120000000</v>
      </c>
    </row>
    <row r="27" customFormat="false" ht="15" hidden="false" customHeight="false" outlineLevel="0" collapsed="false">
      <c r="A27" s="38" t="s">
        <v>83</v>
      </c>
      <c r="B27" s="52" t="n">
        <f aca="false">SUM(C9:C20)</f>
        <v>37950000</v>
      </c>
    </row>
    <row r="28" customFormat="false" ht="15" hidden="false" customHeight="false" outlineLevel="0" collapsed="false">
      <c r="A28" s="38" t="s">
        <v>84</v>
      </c>
      <c r="B28" s="52" t="n">
        <f aca="false">SUM(F9:F20)</f>
        <v>56100000</v>
      </c>
    </row>
    <row r="29" customFormat="false" ht="15" hidden="false" customHeight="false" outlineLevel="0" collapsed="false">
      <c r="A29" s="38" t="s">
        <v>85</v>
      </c>
      <c r="B29" s="74" t="n">
        <f aca="false">SUM(G9:G20)</f>
        <v>18150000</v>
      </c>
    </row>
    <row r="30" customFormat="false" ht="15" hidden="false" customHeight="false" outlineLevel="0" collapsed="false">
      <c r="A30" s="75" t="s">
        <v>86</v>
      </c>
      <c r="B30" s="76" t="n">
        <f aca="false">SUM(G9:G20)/SUM(D9:D20)</f>
        <v>0.15125</v>
      </c>
    </row>
  </sheetData>
  <mergeCells count="2">
    <mergeCell ref="A1:G1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6" min="2" style="0" width="22"/>
  </cols>
  <sheetData>
    <row r="1" customFormat="false" ht="36" hidden="false" customHeight="true" outlineLevel="0" collapsed="false">
      <c r="A1" s="77" t="s">
        <v>87</v>
      </c>
      <c r="B1" s="77"/>
      <c r="C1" s="77"/>
      <c r="D1" s="77"/>
      <c r="E1" s="77"/>
      <c r="F1" s="77"/>
    </row>
    <row r="3" customFormat="false" ht="15" hidden="false" customHeight="false" outlineLevel="0" collapsed="false">
      <c r="A3" s="38" t="s">
        <v>2</v>
      </c>
      <c r="B3" s="78" t="n">
        <f aca="false">'📊 Сводка'!B5</f>
        <v>10000000</v>
      </c>
    </row>
    <row r="4" customFormat="false" ht="15" hidden="false" customHeight="false" outlineLevel="0" collapsed="false">
      <c r="A4" s="38" t="s">
        <v>88</v>
      </c>
      <c r="B4" s="79" t="n">
        <f aca="false">'📊 Сводка'!B12</f>
        <v>0.21</v>
      </c>
    </row>
    <row r="5" customFormat="false" ht="15" hidden="false" customHeight="false" outlineLevel="0" collapsed="false">
      <c r="A5" s="38" t="s">
        <v>89</v>
      </c>
      <c r="B5" s="79" t="n">
        <f aca="false">'📊 Сводка'!B13</f>
        <v>0.23</v>
      </c>
    </row>
    <row r="6" customFormat="false" ht="15" hidden="false" customHeight="false" outlineLevel="0" collapsed="false">
      <c r="A6" s="38" t="s">
        <v>71</v>
      </c>
      <c r="B6" s="79" t="n">
        <f aca="false">B4/12</f>
        <v>0.0175</v>
      </c>
    </row>
    <row r="8" customFormat="false" ht="36" hidden="false" customHeight="true" outlineLevel="0" collapsed="false">
      <c r="A8" s="80" t="s">
        <v>41</v>
      </c>
      <c r="B8" s="80" t="s">
        <v>90</v>
      </c>
      <c r="C8" s="80" t="s">
        <v>91</v>
      </c>
      <c r="D8" s="80" t="s">
        <v>92</v>
      </c>
      <c r="E8" s="80" t="s">
        <v>93</v>
      </c>
      <c r="F8" s="80" t="s">
        <v>94</v>
      </c>
    </row>
    <row r="9" customFormat="false" ht="19.5" hidden="false" customHeight="true" outlineLevel="0" collapsed="false">
      <c r="A9" s="42" t="s">
        <v>48</v>
      </c>
      <c r="B9" s="43" t="n">
        <f aca="false">'📊 Сводка'!B5</f>
        <v>10000000</v>
      </c>
      <c r="C9" s="61" t="n">
        <f aca="false">SUM(B9)</f>
        <v>10000000</v>
      </c>
      <c r="D9" s="44" t="n">
        <f aca="false">B9*$B$6</f>
        <v>175000</v>
      </c>
      <c r="E9" s="45" t="n">
        <f aca="false">B9+D9</f>
        <v>10175000</v>
      </c>
      <c r="F9" s="81" t="n">
        <f aca="false">SUM(D9)</f>
        <v>175000</v>
      </c>
    </row>
    <row r="10" customFormat="false" ht="19.5" hidden="false" customHeight="true" outlineLevel="0" collapsed="false">
      <c r="A10" s="82" t="s">
        <v>49</v>
      </c>
      <c r="B10" s="83" t="n">
        <f aca="false">'📊 Сводка'!B5</f>
        <v>10000000</v>
      </c>
      <c r="C10" s="84" t="n">
        <f aca="false">SUM(B9:B10)</f>
        <v>20000000</v>
      </c>
      <c r="D10" s="22" t="n">
        <f aca="false">E9*$B$6</f>
        <v>178062.5</v>
      </c>
      <c r="E10" s="85" t="n">
        <f aca="false">E9+B10+D10</f>
        <v>20353062.5</v>
      </c>
      <c r="F10" s="86" t="n">
        <f aca="false">SUM(D9:D10)</f>
        <v>353062.5</v>
      </c>
    </row>
    <row r="11" customFormat="false" ht="19.5" hidden="false" customHeight="true" outlineLevel="0" collapsed="false">
      <c r="A11" s="42" t="s">
        <v>50</v>
      </c>
      <c r="B11" s="43" t="n">
        <f aca="false">'📊 Сводка'!B5</f>
        <v>10000000</v>
      </c>
      <c r="C11" s="61" t="n">
        <f aca="false">SUM(B9:B11)</f>
        <v>30000000</v>
      </c>
      <c r="D11" s="44" t="n">
        <f aca="false">E10*$B$6</f>
        <v>356178.59375</v>
      </c>
      <c r="E11" s="45" t="n">
        <f aca="false">E10+B11+D11</f>
        <v>30709241.09375</v>
      </c>
      <c r="F11" s="81" t="n">
        <f aca="false">SUM(D9:D11)</f>
        <v>709241.09375</v>
      </c>
    </row>
    <row r="12" customFormat="false" ht="19.5" hidden="false" customHeight="true" outlineLevel="0" collapsed="false">
      <c r="A12" s="82" t="s">
        <v>51</v>
      </c>
      <c r="B12" s="83" t="n">
        <f aca="false">'📊 Сводка'!B5</f>
        <v>10000000</v>
      </c>
      <c r="C12" s="84" t="n">
        <f aca="false">SUM(B9:B12)</f>
        <v>40000000</v>
      </c>
      <c r="D12" s="22" t="n">
        <f aca="false">E11*$B$6</f>
        <v>537411.719140625</v>
      </c>
      <c r="E12" s="85" t="n">
        <f aca="false">E11+B12+D12</f>
        <v>41246652.8128906</v>
      </c>
      <c r="F12" s="86" t="n">
        <f aca="false">SUM(D9:D12)</f>
        <v>1246652.81289062</v>
      </c>
    </row>
    <row r="13" customFormat="false" ht="19.5" hidden="false" customHeight="true" outlineLevel="0" collapsed="false">
      <c r="A13" s="42" t="s">
        <v>52</v>
      </c>
      <c r="B13" s="43" t="n">
        <f aca="false">'📊 Сводка'!B5</f>
        <v>10000000</v>
      </c>
      <c r="C13" s="61" t="n">
        <f aca="false">SUM(B9:B13)</f>
        <v>50000000</v>
      </c>
      <c r="D13" s="44" t="n">
        <f aca="false">E12*$B$6</f>
        <v>721816.424225586</v>
      </c>
      <c r="E13" s="45" t="n">
        <f aca="false">E12+B13+D13</f>
        <v>51968469.2371162</v>
      </c>
      <c r="F13" s="81" t="n">
        <f aca="false">SUM(D9:D13)</f>
        <v>1968469.23711621</v>
      </c>
    </row>
    <row r="14" customFormat="false" ht="19.5" hidden="false" customHeight="true" outlineLevel="0" collapsed="false">
      <c r="A14" s="82" t="s">
        <v>53</v>
      </c>
      <c r="B14" s="83" t="n">
        <f aca="false">'📊 Сводка'!B5</f>
        <v>10000000</v>
      </c>
      <c r="C14" s="84" t="n">
        <f aca="false">SUM(B9:B14)</f>
        <v>60000000</v>
      </c>
      <c r="D14" s="22" t="n">
        <f aca="false">E13*$B$6</f>
        <v>909448.211649534</v>
      </c>
      <c r="E14" s="85" t="n">
        <f aca="false">E13+B14+D14</f>
        <v>62877917.4487658</v>
      </c>
      <c r="F14" s="86" t="n">
        <f aca="false">SUM(D9:D14)</f>
        <v>2877917.44876574</v>
      </c>
    </row>
    <row r="15" customFormat="false" ht="19.5" hidden="false" customHeight="true" outlineLevel="0" collapsed="false">
      <c r="A15" s="42" t="s">
        <v>54</v>
      </c>
      <c r="B15" s="43" t="n">
        <f aca="false">'📊 Сводка'!B5</f>
        <v>10000000</v>
      </c>
      <c r="C15" s="61" t="n">
        <f aca="false">SUM(B9:B15)</f>
        <v>70000000</v>
      </c>
      <c r="D15" s="44" t="n">
        <f aca="false">E14*$B$6</f>
        <v>1100363.5553534</v>
      </c>
      <c r="E15" s="45" t="n">
        <f aca="false">E14+B15+D15</f>
        <v>73978281.0041192</v>
      </c>
      <c r="F15" s="81" t="n">
        <f aca="false">SUM(D9:D15)</f>
        <v>3978281.00411914</v>
      </c>
    </row>
    <row r="16" customFormat="false" ht="19.5" hidden="false" customHeight="true" outlineLevel="0" collapsed="false">
      <c r="A16" s="82" t="s">
        <v>55</v>
      </c>
      <c r="B16" s="83" t="n">
        <f aca="false">'📊 Сводка'!B5</f>
        <v>10000000</v>
      </c>
      <c r="C16" s="84" t="n">
        <f aca="false">SUM(B9:B16)</f>
        <v>80000000</v>
      </c>
      <c r="D16" s="22" t="n">
        <f aca="false">E15*$B$6</f>
        <v>1294619.91757209</v>
      </c>
      <c r="E16" s="85" t="n">
        <f aca="false">E15+B16+D16</f>
        <v>85272900.9216912</v>
      </c>
      <c r="F16" s="86" t="n">
        <f aca="false">SUM(D9:D16)</f>
        <v>5272900.92169123</v>
      </c>
    </row>
    <row r="17" customFormat="false" ht="19.5" hidden="false" customHeight="true" outlineLevel="0" collapsed="false">
      <c r="A17" s="42" t="s">
        <v>56</v>
      </c>
      <c r="B17" s="43" t="n">
        <f aca="false">'📊 Сводка'!B5</f>
        <v>10000000</v>
      </c>
      <c r="C17" s="61" t="n">
        <f aca="false">SUM(B9:B17)</f>
        <v>90000000</v>
      </c>
      <c r="D17" s="44" t="n">
        <f aca="false">E16*$B$6</f>
        <v>1492275.7661296</v>
      </c>
      <c r="E17" s="45" t="n">
        <f aca="false">E16+B17+D17</f>
        <v>96765176.6878208</v>
      </c>
      <c r="F17" s="81" t="n">
        <f aca="false">SUM(D9:D17)</f>
        <v>6765176.68782083</v>
      </c>
    </row>
    <row r="18" customFormat="false" ht="19.5" hidden="false" customHeight="true" outlineLevel="0" collapsed="false">
      <c r="A18" s="82" t="s">
        <v>57</v>
      </c>
      <c r="B18" s="83" t="n">
        <f aca="false">'📊 Сводка'!B5</f>
        <v>10000000</v>
      </c>
      <c r="C18" s="84" t="n">
        <f aca="false">SUM(B9:B18)</f>
        <v>100000000</v>
      </c>
      <c r="D18" s="22" t="n">
        <f aca="false">E17*$B$6</f>
        <v>1693390.59203686</v>
      </c>
      <c r="E18" s="85" t="n">
        <f aca="false">E17+B18+D18</f>
        <v>108458567.279858</v>
      </c>
      <c r="F18" s="86" t="n">
        <f aca="false">SUM(D9:D18)</f>
        <v>8458567.27985769</v>
      </c>
    </row>
    <row r="19" customFormat="false" ht="19.5" hidden="false" customHeight="true" outlineLevel="0" collapsed="false">
      <c r="A19" s="42" t="s">
        <v>58</v>
      </c>
      <c r="B19" s="43" t="n">
        <f aca="false">'📊 Сводка'!B5</f>
        <v>10000000</v>
      </c>
      <c r="C19" s="61" t="n">
        <f aca="false">SUM(B9:B19)</f>
        <v>110000000</v>
      </c>
      <c r="D19" s="44" t="n">
        <f aca="false">E18*$B$6</f>
        <v>1898024.92739751</v>
      </c>
      <c r="E19" s="45" t="n">
        <f aca="false">E18+B19+D19</f>
        <v>120356592.207255</v>
      </c>
      <c r="F19" s="81" t="n">
        <f aca="false">SUM(D9:D19)</f>
        <v>10356592.2072552</v>
      </c>
    </row>
    <row r="20" customFormat="false" ht="19.5" hidden="false" customHeight="true" outlineLevel="0" collapsed="false">
      <c r="A20" s="82" t="s">
        <v>59</v>
      </c>
      <c r="B20" s="83" t="n">
        <f aca="false">'📊 Сводка'!B5</f>
        <v>10000000</v>
      </c>
      <c r="C20" s="84" t="n">
        <f aca="false">SUM(B9:B20)</f>
        <v>120000000</v>
      </c>
      <c r="D20" s="22" t="n">
        <f aca="false">E19*$B$6</f>
        <v>2106240.36362697</v>
      </c>
      <c r="E20" s="85" t="n">
        <f aca="false">E19+B20+D20</f>
        <v>132462832.570882</v>
      </c>
      <c r="F20" s="86" t="n">
        <f aca="false">SUM(D9:D20)</f>
        <v>12462832.5708822</v>
      </c>
    </row>
    <row r="21" customFormat="false" ht="24" hidden="false" customHeight="true" outlineLevel="0" collapsed="false">
      <c r="A21" s="87" t="s">
        <v>60</v>
      </c>
      <c r="B21" s="88" t="n">
        <f aca="false">SUM(B9:B20)</f>
        <v>120000000</v>
      </c>
      <c r="C21" s="89"/>
      <c r="D21" s="88" t="n">
        <f aca="false">SUM(D9:D20)</f>
        <v>12462832.5708822</v>
      </c>
      <c r="E21" s="88" t="n">
        <f aca="false">E20</f>
        <v>132462832.570882</v>
      </c>
      <c r="F21" s="88" t="n">
        <f aca="false">SUM(F9:F20)</f>
        <v>54624693.7641488</v>
      </c>
    </row>
    <row r="23" customFormat="false" ht="15" hidden="false" customHeight="false" outlineLevel="0" collapsed="false">
      <c r="A23" s="90" t="s">
        <v>95</v>
      </c>
    </row>
    <row r="24" customFormat="false" ht="15" hidden="false" customHeight="false" outlineLevel="0" collapsed="false">
      <c r="A24" s="38" t="s">
        <v>96</v>
      </c>
      <c r="B24" s="55" t="n">
        <f aca="false">E20</f>
        <v>132462832.570882</v>
      </c>
    </row>
    <row r="25" customFormat="false" ht="15" hidden="false" customHeight="false" outlineLevel="0" collapsed="false">
      <c r="A25" s="38" t="s">
        <v>97</v>
      </c>
      <c r="B25" s="52" t="n">
        <f aca="false">SUM(B9:B20)</f>
        <v>120000000</v>
      </c>
    </row>
    <row r="26" customFormat="false" ht="15" hidden="false" customHeight="false" outlineLevel="0" collapsed="false">
      <c r="A26" s="91" t="s">
        <v>98</v>
      </c>
      <c r="B26" s="92" t="n">
        <f aca="false">E20-SUM(B9:B20)</f>
        <v>12462832.5708822</v>
      </c>
    </row>
    <row r="27" customFormat="false" ht="15" hidden="false" customHeight="false" outlineLevel="0" collapsed="false">
      <c r="A27" s="38" t="s">
        <v>66</v>
      </c>
      <c r="B27" s="76" t="n">
        <f aca="false">(E20-SUM(B9:B20))/SUM(B9:B20)</f>
        <v>0.103856938090685</v>
      </c>
    </row>
    <row r="28" customFormat="false" ht="15" hidden="false" customHeight="false" outlineLevel="0" collapsed="false">
      <c r="A28" s="38" t="s">
        <v>99</v>
      </c>
      <c r="B28" s="76" t="n">
        <f aca="false">'📊 Сводка'!B13</f>
        <v>0.23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20"/>
  </cols>
  <sheetData>
    <row r="1" customFormat="false" ht="36" hidden="false" customHeight="true" outlineLevel="0" collapsed="false">
      <c r="A1" s="37" t="s">
        <v>100</v>
      </c>
      <c r="B1" s="37"/>
      <c r="C1" s="37"/>
      <c r="D1" s="37"/>
      <c r="E1" s="37"/>
      <c r="F1" s="37"/>
    </row>
    <row r="3" customFormat="false" ht="27.75" hidden="false" customHeight="true" outlineLevel="0" collapsed="false">
      <c r="A3" s="93" t="s">
        <v>101</v>
      </c>
      <c r="B3" s="93"/>
      <c r="C3" s="93"/>
      <c r="D3" s="93"/>
      <c r="E3" s="93"/>
      <c r="F3" s="93"/>
    </row>
    <row r="4" customFormat="false" ht="36" hidden="false" customHeight="true" outlineLevel="0" collapsed="false">
      <c r="A4" s="41" t="s">
        <v>102</v>
      </c>
      <c r="B4" s="41" t="s">
        <v>103</v>
      </c>
      <c r="C4" s="41" t="s">
        <v>104</v>
      </c>
      <c r="D4" s="41" t="s">
        <v>105</v>
      </c>
      <c r="E4" s="41" t="s">
        <v>106</v>
      </c>
      <c r="F4" s="41" t="s">
        <v>107</v>
      </c>
    </row>
    <row r="5" customFormat="false" ht="24" hidden="false" customHeight="true" outlineLevel="0" collapsed="false">
      <c r="A5" s="46" t="s">
        <v>108</v>
      </c>
      <c r="B5" s="94" t="n">
        <f aca="false">'📊 Сводка'!B10</f>
        <v>0.24</v>
      </c>
      <c r="C5" s="95" t="s">
        <v>109</v>
      </c>
      <c r="D5" s="96" t="n">
        <f aca="false">'📊 Сводка'!B10+'📊 Сводка'!B11</f>
        <v>0.36</v>
      </c>
      <c r="E5" s="97" t="s">
        <v>110</v>
      </c>
      <c r="F5" s="98" t="s">
        <v>111</v>
      </c>
    </row>
    <row r="6" customFormat="false" ht="24" hidden="false" customHeight="true" outlineLevel="0" collapsed="false">
      <c r="A6" s="64" t="s">
        <v>112</v>
      </c>
      <c r="B6" s="99" t="n">
        <f aca="false">'📊 Сводка'!B7</f>
        <v>0.33</v>
      </c>
      <c r="C6" s="100" t="s">
        <v>113</v>
      </c>
      <c r="D6" s="101" t="n">
        <f aca="false">'📊 Сводка'!B7</f>
        <v>0.33</v>
      </c>
      <c r="E6" s="102" t="s">
        <v>114</v>
      </c>
      <c r="F6" s="103" t="s">
        <v>115</v>
      </c>
    </row>
    <row r="7" customFormat="false" ht="24" hidden="false" customHeight="true" outlineLevel="0" collapsed="false">
      <c r="A7" s="82" t="s">
        <v>116</v>
      </c>
      <c r="B7" s="104" t="n">
        <f aca="false">'📊 Сводка'!B13</f>
        <v>0.23</v>
      </c>
      <c r="C7" s="105" t="s">
        <v>117</v>
      </c>
      <c r="D7" s="106" t="n">
        <f aca="false">'📊 Сводка'!B13</f>
        <v>0.23</v>
      </c>
      <c r="E7" s="107" t="s">
        <v>114</v>
      </c>
      <c r="F7" s="108" t="s">
        <v>118</v>
      </c>
    </row>
    <row r="9" customFormat="false" ht="27.75" hidden="false" customHeight="true" outlineLevel="0" collapsed="false">
      <c r="A9" s="109" t="s">
        <v>119</v>
      </c>
      <c r="B9" s="109"/>
      <c r="C9" s="109"/>
      <c r="D9" s="109"/>
      <c r="E9" s="109"/>
      <c r="F9" s="109"/>
    </row>
    <row r="10" customFormat="false" ht="120" hidden="false" customHeight="true" outlineLevel="0" collapsed="false">
      <c r="A10" s="110" t="s">
        <v>120</v>
      </c>
      <c r="B10" s="110"/>
      <c r="C10" s="110"/>
      <c r="D10" s="110"/>
      <c r="E10" s="110"/>
      <c r="F10" s="110"/>
    </row>
    <row r="11" customFormat="false" ht="15" hidden="false" customHeight="false" outlineLevel="0" collapsed="false">
      <c r="A11" s="110"/>
      <c r="B11" s="110"/>
      <c r="C11" s="110"/>
      <c r="D11" s="110"/>
      <c r="E11" s="110"/>
      <c r="F11" s="110"/>
    </row>
    <row r="12" customFormat="false" ht="15" hidden="false" customHeight="false" outlineLevel="0" collapsed="false">
      <c r="A12" s="110"/>
      <c r="B12" s="110"/>
      <c r="C12" s="110"/>
      <c r="D12" s="110"/>
      <c r="E12" s="110"/>
      <c r="F12" s="110"/>
    </row>
    <row r="13" customFormat="false" ht="15" hidden="false" customHeight="false" outlineLevel="0" collapsed="false">
      <c r="A13" s="110"/>
      <c r="B13" s="110"/>
      <c r="C13" s="110"/>
      <c r="D13" s="110"/>
      <c r="E13" s="110"/>
      <c r="F13" s="110"/>
    </row>
    <row r="14" customFormat="false" ht="15" hidden="false" customHeight="false" outlineLevel="0" collapsed="false">
      <c r="A14" s="110"/>
      <c r="B14" s="110"/>
      <c r="C14" s="110"/>
      <c r="D14" s="110"/>
      <c r="E14" s="110"/>
      <c r="F14" s="110"/>
    </row>
    <row r="15" customFormat="false" ht="27.75" hidden="false" customHeight="true" outlineLevel="0" collapsed="false">
      <c r="A15" s="7" t="s">
        <v>121</v>
      </c>
      <c r="B15" s="7"/>
      <c r="C15" s="7"/>
      <c r="D15" s="7"/>
      <c r="E15" s="7"/>
      <c r="F15" s="7"/>
    </row>
    <row r="16" customFormat="false" ht="19.5" hidden="false" customHeight="true" outlineLevel="0" collapsed="false">
      <c r="A16" s="111" t="s">
        <v>122</v>
      </c>
      <c r="B16" s="52" t="n">
        <f aca="false">'📊 Сводка'!B14*'📊 Сводка'!B5</f>
        <v>120000000</v>
      </c>
    </row>
    <row r="17" customFormat="false" ht="19.5" hidden="false" customHeight="true" outlineLevel="0" collapsed="false">
      <c r="A17" s="111" t="s">
        <v>123</v>
      </c>
      <c r="B17" s="52" t="n">
        <f aca="false">'🏦 ИИС Облигации'!E21</f>
        <v>7800000</v>
      </c>
    </row>
    <row r="18" customFormat="false" ht="19.5" hidden="false" customHeight="true" outlineLevel="0" collapsed="false">
      <c r="A18" s="111" t="s">
        <v>124</v>
      </c>
      <c r="B18" s="52" t="n">
        <f aca="false">SUM('🏦 ИИС Облигации'!F10:F21)</f>
        <v>14400000</v>
      </c>
    </row>
    <row r="19" customFormat="false" ht="19.5" hidden="false" customHeight="true" outlineLevel="0" collapsed="false">
      <c r="A19" s="112" t="s">
        <v>125</v>
      </c>
      <c r="B19" s="113" t="n">
        <f aca="false">'🏦 ИИС Облигации'!G21</f>
        <v>22200000</v>
      </c>
    </row>
    <row r="20" customFormat="false" ht="19.5" hidden="false" customHeight="true" outlineLevel="0" collapsed="false">
      <c r="A20" s="111" t="s">
        <v>126</v>
      </c>
      <c r="B20" s="52" t="n">
        <f aca="false">'📊 Сводка'!B6</f>
        <v>170000000</v>
      </c>
    </row>
    <row r="21" customFormat="false" ht="19.5" hidden="false" customHeight="true" outlineLevel="0" collapsed="false">
      <c r="A21" s="111" t="s">
        <v>127</v>
      </c>
      <c r="B21" s="55" t="n">
        <f aca="false">'🏦 ИИС Облигации'!G21-'🏧 Вклад'!F21</f>
        <v>-32424693.7641488</v>
      </c>
    </row>
    <row r="22" customFormat="false" ht="19.5" hidden="false" customHeight="true" outlineLevel="0" collapsed="false">
      <c r="A22" s="111" t="s">
        <v>128</v>
      </c>
      <c r="B22" s="55" t="n">
        <f aca="false">'🏦 ИИС Облигации'!G21-'💳 Кредит'!G21</f>
        <v>4050000</v>
      </c>
    </row>
  </sheetData>
  <mergeCells count="5">
    <mergeCell ref="A1:F1"/>
    <mergeCell ref="A3:F3"/>
    <mergeCell ref="A9:F9"/>
    <mergeCell ref="A10:F1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2026-06-23T09:40:53Z</dcterms:created>
  <dc:creator>openpyxl</dc:creator>
  <dc:description/>
  <dc:language>en-US</dc:language>
  <cp:lastModifiedBy/>
  <dcterms:modified xsi:type="dcterms:W3CDTF">2026-06-23T09:40:53Z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